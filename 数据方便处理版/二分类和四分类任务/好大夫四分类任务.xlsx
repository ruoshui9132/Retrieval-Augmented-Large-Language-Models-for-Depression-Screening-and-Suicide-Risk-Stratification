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数据方便处理版\二分类和四分类任务\"/>
    </mc:Choice>
  </mc:AlternateContent>
  <xr:revisionPtr revIDLastSave="0" documentId="13_ncr:1_{39B034C9-CC1A-4E7D-A2EE-FEBE3D71974B}" xr6:coauthVersionLast="47" xr6:coauthVersionMax="47" xr10:uidLastSave="{00000000-0000-0000-0000-000000000000}"/>
  <bookViews>
    <workbookView xWindow="-98" yWindow="-98" windowWidth="21795" windowHeight="12975" xr2:uid="{4C98C4B3-343D-44F8-8BED-F31A226F39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4" i="1" l="1"/>
  <c r="O14" i="1"/>
  <c r="N14" i="1"/>
  <c r="M14" i="1"/>
  <c r="L14" i="1"/>
  <c r="K14" i="1"/>
  <c r="G14" i="1"/>
  <c r="F14" i="1"/>
  <c r="E14" i="1"/>
  <c r="D14" i="1"/>
  <c r="C14" i="1"/>
  <c r="B14" i="1"/>
  <c r="P13" i="1"/>
  <c r="O13" i="1"/>
  <c r="N13" i="1"/>
  <c r="M13" i="1"/>
  <c r="L13" i="1"/>
  <c r="K13" i="1"/>
  <c r="G13" i="1"/>
  <c r="F13" i="1"/>
  <c r="E13" i="1"/>
  <c r="D13" i="1"/>
  <c r="C13" i="1"/>
  <c r="B13" i="1"/>
  <c r="P12" i="1"/>
  <c r="O12" i="1"/>
  <c r="N12" i="1"/>
  <c r="M12" i="1"/>
  <c r="L12" i="1"/>
  <c r="K12" i="1"/>
  <c r="G12" i="1"/>
  <c r="F12" i="1"/>
  <c r="E12" i="1"/>
  <c r="D12" i="1"/>
  <c r="C12" i="1"/>
  <c r="B12" i="1"/>
</calcChain>
</file>

<file path=xl/sharedStrings.xml><?xml version="1.0" encoding="utf-8"?>
<sst xmlns="http://schemas.openxmlformats.org/spreadsheetml/2006/main" count="39" uniqueCount="21">
  <si>
    <t>不加RAG</t>
    <phoneticPr fontId="2" type="noConversion"/>
  </si>
  <si>
    <t>加RAG</t>
    <phoneticPr fontId="2" type="noConversion"/>
  </si>
  <si>
    <t>百川1</t>
    <phoneticPr fontId="2" type="noConversion"/>
  </si>
  <si>
    <t>百川2</t>
    <phoneticPr fontId="2" type="noConversion"/>
  </si>
  <si>
    <t>百川3</t>
  </si>
  <si>
    <t>DS1</t>
    <phoneticPr fontId="2" type="noConversion"/>
  </si>
  <si>
    <t>DS2</t>
    <phoneticPr fontId="2" type="noConversion"/>
  </si>
  <si>
    <t>DS3</t>
  </si>
  <si>
    <t>千问1</t>
    <phoneticPr fontId="2" type="noConversion"/>
  </si>
  <si>
    <t>千问2</t>
    <phoneticPr fontId="2" type="noConversion"/>
  </si>
  <si>
    <t>千问3</t>
  </si>
  <si>
    <t>百川平均值</t>
    <phoneticPr fontId="1" type="noConversion"/>
  </si>
  <si>
    <t>DS平均值</t>
    <phoneticPr fontId="1" type="noConversion"/>
  </si>
  <si>
    <t>千问平均值</t>
    <phoneticPr fontId="1" type="noConversion"/>
  </si>
  <si>
    <t>好大夫四分类任务</t>
    <phoneticPr fontId="2" type="noConversion"/>
  </si>
  <si>
    <t>抑郁症精确率</t>
    <phoneticPr fontId="2" type="noConversion"/>
  </si>
  <si>
    <t>抑郁症召回率</t>
    <phoneticPr fontId="2" type="noConversion"/>
  </si>
  <si>
    <t>抑郁症F1值</t>
    <phoneticPr fontId="1" type="noConversion"/>
  </si>
  <si>
    <t>自杀风险F1值</t>
    <phoneticPr fontId="2" type="noConversion"/>
  </si>
  <si>
    <t>自杀风险精确率</t>
    <phoneticPr fontId="2" type="noConversion"/>
  </si>
  <si>
    <t>自杀风险召回率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</si>
</sst>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176" fontId="0" fillId="0" borderId="0" xfId="0" applyNumberFormat="1" applyAlignmen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FCE30-F0CE-4672-B1B4-247F768B515E}">
  <dimension ref="A1:P14"/>
  <sheetViews>
    <sheetView tabSelected="1" zoomScale="79" workbookViewId="0">
      <selection activeCell="P14" sqref="P14"/>
    </sheetView>
  </sheetViews>
  <sheetFormatPr defaultRowHeight="13.9" x14ac:dyDescent="0.4"/>
  <cols>
    <col min="1" max="1" width="10.796875" bestFit="1" customWidth="1"/>
    <col min="2" max="3" width="12.86328125" bestFit="1" customWidth="1"/>
    <col min="4" max="4" width="10.796875" bestFit="1" customWidth="1"/>
    <col min="5" max="6" width="14.86328125" bestFit="1" customWidth="1"/>
    <col min="7" max="7" width="12.86328125" bestFit="1" customWidth="1"/>
    <col min="8" max="8" width="10.796875" bestFit="1" customWidth="1"/>
    <col min="11" max="12" width="12.86328125" bestFit="1" customWidth="1"/>
    <col min="13" max="13" width="10.796875" bestFit="1" customWidth="1"/>
    <col min="14" max="15" width="14.86328125" bestFit="1" customWidth="1"/>
    <col min="16" max="16" width="12.86328125" bestFit="1" customWidth="1"/>
  </cols>
  <sheetData>
    <row r="1" spans="1:16" x14ac:dyDescent="0.4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4">
      <c r="A2" s="1" t="s">
        <v>0</v>
      </c>
      <c r="B2" s="1" t="s">
        <v>15</v>
      </c>
      <c r="C2" s="1" t="s">
        <v>16</v>
      </c>
      <c r="D2" s="1" t="s">
        <v>17</v>
      </c>
      <c r="E2" s="1" t="s">
        <v>19</v>
      </c>
      <c r="F2" s="1" t="s">
        <v>20</v>
      </c>
      <c r="G2" s="1" t="s">
        <v>18</v>
      </c>
      <c r="H2" s="1"/>
      <c r="I2" s="1"/>
      <c r="J2" s="1" t="s">
        <v>1</v>
      </c>
      <c r="K2" s="1" t="s">
        <v>15</v>
      </c>
      <c r="L2" s="1" t="s">
        <v>16</v>
      </c>
      <c r="M2" s="1" t="s">
        <v>17</v>
      </c>
      <c r="N2" s="1" t="s">
        <v>19</v>
      </c>
      <c r="O2" s="1" t="s">
        <v>20</v>
      </c>
      <c r="P2" s="1" t="s">
        <v>18</v>
      </c>
    </row>
    <row r="3" spans="1:16" x14ac:dyDescent="0.4">
      <c r="A3" s="1" t="s">
        <v>2</v>
      </c>
      <c r="B3" s="1">
        <v>0.86022954461310619</v>
      </c>
      <c r="C3" s="1">
        <v>0.76</v>
      </c>
      <c r="D3" s="1">
        <v>0.77960244084713992</v>
      </c>
      <c r="E3" s="1">
        <v>0.8008399006225041</v>
      </c>
      <c r="F3" s="1">
        <v>0.79749999999999999</v>
      </c>
      <c r="G3" s="1">
        <v>0.79484893378226706</v>
      </c>
      <c r="H3" s="1"/>
      <c r="I3" s="1"/>
      <c r="J3" s="1" t="s">
        <v>2</v>
      </c>
      <c r="K3" s="1">
        <v>0.83133037679176824</v>
      </c>
      <c r="L3" s="1">
        <v>0.8125</v>
      </c>
      <c r="M3" s="1">
        <v>0.80987787220981422</v>
      </c>
      <c r="N3" s="1">
        <v>0.79694367635830876</v>
      </c>
      <c r="O3" s="1">
        <v>0.79249999999999998</v>
      </c>
      <c r="P3" s="1">
        <v>0.78836866907844638</v>
      </c>
    </row>
    <row r="4" spans="1:16" x14ac:dyDescent="0.4">
      <c r="A4" s="1" t="s">
        <v>3</v>
      </c>
      <c r="B4" s="1">
        <v>0.85307500047306972</v>
      </c>
      <c r="C4" s="1">
        <v>0.73750000000000004</v>
      </c>
      <c r="D4" s="1">
        <v>0.76001525663119363</v>
      </c>
      <c r="E4" s="1">
        <v>0.84406861814777401</v>
      </c>
      <c r="F4" s="1">
        <v>0.83750000000000002</v>
      </c>
      <c r="G4" s="1">
        <v>0.83720067997395309</v>
      </c>
      <c r="H4" s="1"/>
      <c r="I4" s="1"/>
      <c r="J4" s="1" t="s">
        <v>3</v>
      </c>
      <c r="K4" s="1">
        <v>0.84307305194805193</v>
      </c>
      <c r="L4" s="1">
        <v>0.82499999999999996</v>
      </c>
      <c r="M4" s="1">
        <v>0.81928742607743288</v>
      </c>
      <c r="N4" s="1">
        <v>0.80049179219460909</v>
      </c>
      <c r="O4" s="1">
        <v>0.8</v>
      </c>
      <c r="P4" s="1">
        <v>0.79487805187206573</v>
      </c>
    </row>
    <row r="5" spans="1:16" x14ac:dyDescent="0.4">
      <c r="A5" s="1" t="s">
        <v>4</v>
      </c>
      <c r="B5" s="1">
        <v>0.85401721364221372</v>
      </c>
      <c r="C5" s="1">
        <v>0.73750000000000004</v>
      </c>
      <c r="D5" s="1">
        <v>0.76326706367426733</v>
      </c>
      <c r="E5" s="1">
        <v>0.82096380806143132</v>
      </c>
      <c r="F5" s="1">
        <v>0.81499999999999995</v>
      </c>
      <c r="G5" s="1">
        <v>0.8114880349283462</v>
      </c>
      <c r="H5" s="1"/>
      <c r="I5" s="1"/>
      <c r="J5" s="1" t="s">
        <v>4</v>
      </c>
      <c r="K5" s="1">
        <v>0.81799074837045604</v>
      </c>
      <c r="L5" s="1">
        <v>0.81</v>
      </c>
      <c r="M5" s="1">
        <v>0.80509571258150603</v>
      </c>
      <c r="N5" s="1">
        <v>0.8033413016531763</v>
      </c>
      <c r="O5" s="1">
        <v>0.80500000000000005</v>
      </c>
      <c r="P5" s="1">
        <v>0.79858914974782125</v>
      </c>
    </row>
    <row r="6" spans="1:16" x14ac:dyDescent="0.4">
      <c r="A6" s="1" t="s">
        <v>5</v>
      </c>
      <c r="B6" s="1">
        <v>0.83580065359477118</v>
      </c>
      <c r="C6" s="1">
        <v>0.73250000000000004</v>
      </c>
      <c r="D6" s="1">
        <v>0.75496375066880683</v>
      </c>
      <c r="E6" s="1">
        <v>0.82887211286290796</v>
      </c>
      <c r="F6" s="1">
        <v>0.82250000000000001</v>
      </c>
      <c r="G6" s="1">
        <v>0.82232197162006626</v>
      </c>
      <c r="H6" s="1"/>
      <c r="I6" s="1"/>
      <c r="J6" s="1" t="s">
        <v>5</v>
      </c>
      <c r="K6" s="1">
        <v>0.863328094777563</v>
      </c>
      <c r="L6" s="1">
        <v>0.84</v>
      </c>
      <c r="M6" s="1">
        <v>0.84585932176824097</v>
      </c>
      <c r="N6" s="1">
        <v>0.81860440559440562</v>
      </c>
      <c r="O6" s="1">
        <v>0.81</v>
      </c>
      <c r="P6" s="1">
        <v>0.80829138387539157</v>
      </c>
    </row>
    <row r="7" spans="1:16" x14ac:dyDescent="0.4">
      <c r="A7" s="1" t="s">
        <v>6</v>
      </c>
      <c r="B7" s="1">
        <v>0.86119148675720414</v>
      </c>
      <c r="C7" s="1">
        <v>0.77500000000000002</v>
      </c>
      <c r="D7" s="1">
        <v>0.79273731368756406</v>
      </c>
      <c r="E7" s="1">
        <v>0.82955036949267025</v>
      </c>
      <c r="F7" s="1">
        <v>0.8175</v>
      </c>
      <c r="G7" s="1">
        <v>0.81900562273070276</v>
      </c>
      <c r="H7" s="1"/>
      <c r="I7" s="1"/>
      <c r="J7" s="1" t="s">
        <v>6</v>
      </c>
      <c r="K7" s="1">
        <v>0.85463213634731128</v>
      </c>
      <c r="L7" s="1">
        <v>0.82750000000000001</v>
      </c>
      <c r="M7" s="1">
        <v>0.83138259195170894</v>
      </c>
      <c r="N7" s="1">
        <v>0.82099522699522698</v>
      </c>
      <c r="O7" s="1">
        <v>0.8125</v>
      </c>
      <c r="P7" s="1">
        <v>0.81117293545065705</v>
      </c>
    </row>
    <row r="8" spans="1:16" x14ac:dyDescent="0.4">
      <c r="A8" s="1" t="s">
        <v>7</v>
      </c>
      <c r="B8" s="1">
        <v>0.83109913115550593</v>
      </c>
      <c r="C8" s="1">
        <v>0.72750000000000004</v>
      </c>
      <c r="D8" s="1">
        <v>0.7431893383472602</v>
      </c>
      <c r="E8" s="1">
        <v>0.83390467614077068</v>
      </c>
      <c r="F8" s="1">
        <v>0.80500000000000005</v>
      </c>
      <c r="G8" s="1">
        <v>0.81321035581436196</v>
      </c>
      <c r="H8" s="1"/>
      <c r="I8" s="1"/>
      <c r="J8" s="1" t="s">
        <v>7</v>
      </c>
      <c r="K8" s="1">
        <v>0.84076741917502784</v>
      </c>
      <c r="L8" s="1">
        <v>0.75249999999999995</v>
      </c>
      <c r="M8" s="1">
        <v>0.76697203459221186</v>
      </c>
      <c r="N8" s="1">
        <v>0.84179978209354644</v>
      </c>
      <c r="O8" s="1">
        <v>0.84</v>
      </c>
      <c r="P8" s="1">
        <v>0.83855421070493608</v>
      </c>
    </row>
    <row r="9" spans="1:16" x14ac:dyDescent="0.4">
      <c r="A9" s="1" t="s">
        <v>8</v>
      </c>
      <c r="B9" s="1">
        <v>0.85070657643588421</v>
      </c>
      <c r="C9" s="1">
        <v>0.7</v>
      </c>
      <c r="D9" s="1">
        <v>0.72490457532861485</v>
      </c>
      <c r="E9" s="1">
        <v>0.82870274170274172</v>
      </c>
      <c r="F9" s="1">
        <v>0.76500000000000001</v>
      </c>
      <c r="G9" s="1">
        <v>0.78204660886105093</v>
      </c>
      <c r="H9" s="1"/>
      <c r="I9" s="1"/>
      <c r="J9" s="1" t="s">
        <v>8</v>
      </c>
      <c r="K9" s="1">
        <v>0.91310387529137527</v>
      </c>
      <c r="L9" s="1">
        <v>0.89500000000000002</v>
      </c>
      <c r="M9" s="1">
        <v>0.89901359829276539</v>
      </c>
      <c r="N9" s="1">
        <v>0.90951526575954855</v>
      </c>
      <c r="O9" s="1">
        <v>0.90249999999999997</v>
      </c>
      <c r="P9" s="1">
        <v>0.90468474513881603</v>
      </c>
    </row>
    <row r="10" spans="1:16" x14ac:dyDescent="0.4">
      <c r="A10" s="1" t="s">
        <v>9</v>
      </c>
      <c r="B10" s="1">
        <v>0.84880593803786586</v>
      </c>
      <c r="C10" s="1">
        <v>0.69</v>
      </c>
      <c r="D10" s="1">
        <v>0.71510184325478432</v>
      </c>
      <c r="E10" s="1">
        <v>0.82213470246888543</v>
      </c>
      <c r="F10" s="1">
        <v>0.755</v>
      </c>
      <c r="G10" s="1">
        <v>0.77300279050391307</v>
      </c>
      <c r="H10" s="1"/>
      <c r="I10" s="1"/>
      <c r="J10" s="1" t="s">
        <v>9</v>
      </c>
      <c r="K10" s="1">
        <v>0.91363389864697131</v>
      </c>
      <c r="L10" s="1">
        <v>0.89749999999999996</v>
      </c>
      <c r="M10" s="1">
        <v>0.90099180839171278</v>
      </c>
      <c r="N10" s="1">
        <v>0.90813436084987809</v>
      </c>
      <c r="O10" s="1">
        <v>0.90249999999999997</v>
      </c>
      <c r="P10" s="1">
        <v>0.90433947661651648</v>
      </c>
    </row>
    <row r="11" spans="1:16" x14ac:dyDescent="0.4">
      <c r="A11" s="1" t="s">
        <v>10</v>
      </c>
      <c r="B11" s="1">
        <v>0.84880593803786586</v>
      </c>
      <c r="C11" s="1">
        <v>0.6925</v>
      </c>
      <c r="D11" s="1">
        <v>0.71855292050123731</v>
      </c>
      <c r="E11" s="1">
        <v>0.82282287157287159</v>
      </c>
      <c r="F11" s="1">
        <v>0.75749999999999995</v>
      </c>
      <c r="G11" s="1">
        <v>0.77557556248606119</v>
      </c>
      <c r="H11" s="1"/>
      <c r="I11" s="1"/>
      <c r="J11" s="1" t="s">
        <v>10</v>
      </c>
      <c r="K11" s="1">
        <v>0.89335494342957023</v>
      </c>
      <c r="L11" s="1">
        <v>0.88500000000000001</v>
      </c>
      <c r="M11" s="1">
        <v>0.88689124656172724</v>
      </c>
      <c r="N11" s="1">
        <v>0.86193341699636716</v>
      </c>
      <c r="O11" s="1">
        <v>0.83</v>
      </c>
      <c r="P11" s="1">
        <v>0.83497350930890013</v>
      </c>
    </row>
    <row r="12" spans="1:16" x14ac:dyDescent="0.4">
      <c r="A12" s="1" t="s">
        <v>11</v>
      </c>
      <c r="B12" s="2">
        <f>AVERAGE(B3:B5)</f>
        <v>0.85577391957612992</v>
      </c>
      <c r="C12" s="2">
        <f t="shared" ref="C12:G12" si="0">AVERAGE(C3:C5)</f>
        <v>0.74500000000000011</v>
      </c>
      <c r="D12" s="2">
        <f t="shared" si="0"/>
        <v>0.76762825371753374</v>
      </c>
      <c r="E12" s="2">
        <f t="shared" si="0"/>
        <v>0.82195744227723644</v>
      </c>
      <c r="F12" s="2">
        <f t="shared" si="0"/>
        <v>0.81666666666666676</v>
      </c>
      <c r="G12" s="2">
        <f t="shared" si="0"/>
        <v>0.81451254956152219</v>
      </c>
      <c r="H12" s="1"/>
      <c r="I12" s="1"/>
      <c r="J12" s="1" t="s">
        <v>11</v>
      </c>
      <c r="K12" s="2">
        <f>AVERAGE(K3:K5)</f>
        <v>0.83079805903675874</v>
      </c>
      <c r="L12" s="2">
        <f t="shared" ref="L12:P12" si="1">AVERAGE(L3:L5)</f>
        <v>0.8158333333333333</v>
      </c>
      <c r="M12" s="2">
        <f t="shared" si="1"/>
        <v>0.81142033695625104</v>
      </c>
      <c r="N12" s="2">
        <f t="shared" si="1"/>
        <v>0.80025892340203131</v>
      </c>
      <c r="O12" s="2">
        <f t="shared" si="1"/>
        <v>0.79916666666666669</v>
      </c>
      <c r="P12" s="2">
        <f t="shared" si="1"/>
        <v>0.79394529023277782</v>
      </c>
    </row>
    <row r="13" spans="1:16" x14ac:dyDescent="0.4">
      <c r="A13" s="1" t="s">
        <v>12</v>
      </c>
      <c r="B13" s="2">
        <f>AVERAGE(B6:B8)</f>
        <v>0.84269709050249375</v>
      </c>
      <c r="C13" s="2">
        <f t="shared" ref="C13:G13" si="2">AVERAGE(C6:C8)</f>
        <v>0.74500000000000011</v>
      </c>
      <c r="D13" s="2">
        <f t="shared" si="2"/>
        <v>0.76363013423454362</v>
      </c>
      <c r="E13" s="2">
        <f t="shared" si="2"/>
        <v>0.83077571949878293</v>
      </c>
      <c r="F13" s="2">
        <f t="shared" si="2"/>
        <v>0.81500000000000006</v>
      </c>
      <c r="G13" s="2">
        <f t="shared" si="2"/>
        <v>0.81817931672171029</v>
      </c>
      <c r="H13" s="1"/>
      <c r="I13" s="1"/>
      <c r="J13" s="1" t="s">
        <v>12</v>
      </c>
      <c r="K13" s="2">
        <f>AVERAGE(K6:K8)</f>
        <v>0.852909216766634</v>
      </c>
      <c r="L13" s="2">
        <f t="shared" ref="L13:P13" si="3">AVERAGE(L6:L8)</f>
        <v>0.80666666666666664</v>
      </c>
      <c r="M13" s="2">
        <f t="shared" si="3"/>
        <v>0.81473798277072051</v>
      </c>
      <c r="N13" s="2">
        <f t="shared" si="3"/>
        <v>0.82713313822772638</v>
      </c>
      <c r="O13" s="2">
        <f t="shared" si="3"/>
        <v>0.8208333333333333</v>
      </c>
      <c r="P13" s="2">
        <f t="shared" si="3"/>
        <v>0.81933951001032812</v>
      </c>
    </row>
    <row r="14" spans="1:16" x14ac:dyDescent="0.4">
      <c r="A14" s="1" t="s">
        <v>13</v>
      </c>
      <c r="B14" s="2">
        <f>AVERAGE(B9:B11)</f>
        <v>0.84943948417053861</v>
      </c>
      <c r="C14" s="2">
        <f t="shared" ref="C14:G14" si="4">AVERAGE(C9:C11)</f>
        <v>0.69416666666666671</v>
      </c>
      <c r="D14" s="2">
        <f t="shared" si="4"/>
        <v>0.71951977969487879</v>
      </c>
      <c r="E14" s="2">
        <f t="shared" si="4"/>
        <v>0.82455343858149954</v>
      </c>
      <c r="F14" s="2">
        <f t="shared" si="4"/>
        <v>0.75916666666666666</v>
      </c>
      <c r="G14" s="2">
        <f t="shared" si="4"/>
        <v>0.7768749872836751</v>
      </c>
      <c r="H14" s="1"/>
      <c r="I14" s="1"/>
      <c r="J14" s="1" t="s">
        <v>13</v>
      </c>
      <c r="K14" s="2">
        <f>AVERAGE(K9:K11)</f>
        <v>0.90669757245597227</v>
      </c>
      <c r="L14" s="2">
        <f t="shared" ref="L14:P14" si="5">AVERAGE(L9:L11)</f>
        <v>0.89250000000000007</v>
      </c>
      <c r="M14" s="2">
        <f t="shared" si="5"/>
        <v>0.89563221774873514</v>
      </c>
      <c r="N14" s="2">
        <f t="shared" si="5"/>
        <v>0.89319434786859786</v>
      </c>
      <c r="O14" s="2">
        <f t="shared" si="5"/>
        <v>0.8783333333333333</v>
      </c>
      <c r="P14" s="2">
        <f t="shared" si="5"/>
        <v>0.88133257702141099</v>
      </c>
    </row>
  </sheetData>
  <mergeCells count="1">
    <mergeCell ref="A1:P1"/>
  </mergeCells>
  <phoneticPr fontId="1" type="noConversion"/>
  <pageMargins left="0.7" right="0.7" top="0.75" bottom="0.75" header="0.3" footer="0.3"/>
  <ignoredErrors>
    <ignoredError sqref="B12:G14 K12:P1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文博 谢</dc:creator>
  <cp:lastModifiedBy>文博 谢</cp:lastModifiedBy>
  <dcterms:created xsi:type="dcterms:W3CDTF">2025-10-05T08:36:19Z</dcterms:created>
  <dcterms:modified xsi:type="dcterms:W3CDTF">2025-10-09T08:08:44Z</dcterms:modified>
</cp:coreProperties>
</file>
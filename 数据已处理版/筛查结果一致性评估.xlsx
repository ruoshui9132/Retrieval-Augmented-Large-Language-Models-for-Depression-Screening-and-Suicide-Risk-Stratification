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数据方便处理版\"/>
    </mc:Choice>
  </mc:AlternateContent>
  <xr:revisionPtr revIDLastSave="0" documentId="13_ncr:1_{09F6F31E-5743-422F-B79A-77D3A2CEF0D3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" i="1" l="1"/>
  <c r="D36" i="1"/>
  <c r="E36" i="1"/>
  <c r="B36" i="1"/>
  <c r="C35" i="1"/>
  <c r="D35" i="1"/>
  <c r="E35" i="1"/>
  <c r="B35" i="1"/>
  <c r="C34" i="1"/>
  <c r="D34" i="1"/>
  <c r="E34" i="1"/>
  <c r="B34" i="1"/>
  <c r="C33" i="1"/>
  <c r="D33" i="1"/>
  <c r="B33" i="1"/>
  <c r="C32" i="1"/>
  <c r="D32" i="1"/>
  <c r="B32" i="1"/>
  <c r="E3" i="1"/>
  <c r="E4" i="1"/>
  <c r="E5" i="1"/>
  <c r="E6" i="1"/>
  <c r="E7" i="1"/>
  <c r="E8" i="1"/>
  <c r="E9" i="1"/>
  <c r="E32" i="1" s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E33" i="1" s="1"/>
</calcChain>
</file>

<file path=xl/sharedStrings.xml><?xml version="1.0" encoding="utf-8"?>
<sst xmlns="http://schemas.openxmlformats.org/spreadsheetml/2006/main" count="10" uniqueCount="10">
  <si>
    <t>案例编号</t>
    <phoneticPr fontId="1" type="noConversion"/>
  </si>
  <si>
    <t>诊断结果分类一致性</t>
    <phoneticPr fontId="1" type="noConversion"/>
  </si>
  <si>
    <t>关键症状描述一致性</t>
    <phoneticPr fontId="1" type="noConversion"/>
  </si>
  <si>
    <t>风险等级判定一致性</t>
    <phoneticPr fontId="1" type="noConversion"/>
  </si>
  <si>
    <t>整体一致性指数</t>
    <phoneticPr fontId="1" type="noConversion"/>
  </si>
  <si>
    <t>平均值</t>
    <phoneticPr fontId="1" type="noConversion"/>
  </si>
  <si>
    <t>标准差</t>
    <phoneticPr fontId="1" type="noConversion"/>
  </si>
  <si>
    <t>95%置信区间上限</t>
    <phoneticPr fontId="1" type="noConversion"/>
  </si>
  <si>
    <t>95%置信区间下限</t>
    <phoneticPr fontId="1" type="noConversion"/>
  </si>
  <si>
    <t>边际误差E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</si>
</sst>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zoomScale="80" workbookViewId="0">
      <selection activeCell="F35" sqref="F35"/>
    </sheetView>
  </sheetViews>
  <sheetFormatPr defaultRowHeight="13.9" x14ac:dyDescent="0.4"/>
  <cols>
    <col min="1" max="1" width="16.06640625" bestFit="1" customWidth="1"/>
    <col min="2" max="4" width="19" bestFit="1" customWidth="1"/>
    <col min="5" max="5" width="14.8632812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2</v>
      </c>
      <c r="B2">
        <v>1</v>
      </c>
      <c r="C2">
        <v>0.84127458540979527</v>
      </c>
      <c r="D2">
        <v>1</v>
      </c>
      <c r="E2">
        <f>AVERAGE(B2:D2)</f>
        <v>0.94709152846993172</v>
      </c>
    </row>
    <row r="3" spans="1:5" x14ac:dyDescent="0.4">
      <c r="A3">
        <v>4</v>
      </c>
      <c r="B3">
        <v>1</v>
      </c>
      <c r="C3">
        <v>0.83001939285500803</v>
      </c>
      <c r="D3">
        <v>0.8</v>
      </c>
      <c r="E3">
        <f t="shared" ref="E3:E31" si="0">AVERAGE(B3:D3)</f>
        <v>0.87667313095166932</v>
      </c>
    </row>
    <row r="4" spans="1:5" x14ac:dyDescent="0.4">
      <c r="A4">
        <v>6</v>
      </c>
      <c r="B4">
        <v>1</v>
      </c>
      <c r="C4">
        <v>0.93793933686239117</v>
      </c>
      <c r="D4">
        <v>1</v>
      </c>
      <c r="E4">
        <f t="shared" si="0"/>
        <v>0.97931311228746376</v>
      </c>
    </row>
    <row r="5" spans="1:5" x14ac:dyDescent="0.4">
      <c r="A5">
        <v>8</v>
      </c>
      <c r="B5">
        <v>1</v>
      </c>
      <c r="C5">
        <v>0.88825145827139185</v>
      </c>
      <c r="D5">
        <v>1</v>
      </c>
      <c r="E5">
        <f t="shared" si="0"/>
        <v>0.96275048609046399</v>
      </c>
    </row>
    <row r="6" spans="1:5" x14ac:dyDescent="0.4">
      <c r="A6">
        <v>10</v>
      </c>
      <c r="B6">
        <v>1</v>
      </c>
      <c r="C6">
        <v>0.8735700796916277</v>
      </c>
      <c r="D6">
        <v>1</v>
      </c>
      <c r="E6">
        <f t="shared" si="0"/>
        <v>0.95785669323054246</v>
      </c>
    </row>
    <row r="7" spans="1:5" x14ac:dyDescent="0.4">
      <c r="A7">
        <v>12</v>
      </c>
      <c r="B7">
        <v>1</v>
      </c>
      <c r="C7">
        <v>0.89367283247142515</v>
      </c>
      <c r="D7">
        <v>1</v>
      </c>
      <c r="E7">
        <f t="shared" si="0"/>
        <v>0.96455761082380842</v>
      </c>
    </row>
    <row r="8" spans="1:5" x14ac:dyDescent="0.4">
      <c r="A8">
        <v>14</v>
      </c>
      <c r="B8">
        <v>1</v>
      </c>
      <c r="C8">
        <v>0.81626835165246425</v>
      </c>
      <c r="D8">
        <v>1</v>
      </c>
      <c r="E8">
        <f t="shared" si="0"/>
        <v>0.9387561172174882</v>
      </c>
    </row>
    <row r="9" spans="1:5" x14ac:dyDescent="0.4">
      <c r="A9">
        <v>16</v>
      </c>
      <c r="B9">
        <v>1</v>
      </c>
      <c r="C9">
        <v>0.86429538027365693</v>
      </c>
      <c r="D9">
        <v>1</v>
      </c>
      <c r="E9">
        <f t="shared" si="0"/>
        <v>0.95476512675788561</v>
      </c>
    </row>
    <row r="10" spans="1:5" x14ac:dyDescent="0.4">
      <c r="A10">
        <v>18</v>
      </c>
      <c r="B10">
        <v>1</v>
      </c>
      <c r="C10">
        <v>0.84729566495629371</v>
      </c>
      <c r="D10">
        <v>1</v>
      </c>
      <c r="E10">
        <f t="shared" si="0"/>
        <v>0.94909855498543116</v>
      </c>
    </row>
    <row r="11" spans="1:5" x14ac:dyDescent="0.4">
      <c r="A11">
        <v>20</v>
      </c>
      <c r="B11">
        <v>0.7</v>
      </c>
      <c r="C11">
        <v>0.80890594092310375</v>
      </c>
      <c r="D11">
        <v>1</v>
      </c>
      <c r="E11">
        <f t="shared" si="0"/>
        <v>0.83630198030770131</v>
      </c>
    </row>
    <row r="12" spans="1:5" x14ac:dyDescent="0.4">
      <c r="A12">
        <v>22</v>
      </c>
      <c r="B12">
        <v>0.7</v>
      </c>
      <c r="C12">
        <v>0.79114128473109679</v>
      </c>
      <c r="D12">
        <v>1</v>
      </c>
      <c r="E12">
        <f t="shared" si="0"/>
        <v>0.83038042824369895</v>
      </c>
    </row>
    <row r="13" spans="1:5" x14ac:dyDescent="0.4">
      <c r="A13">
        <v>24</v>
      </c>
      <c r="B13">
        <v>1</v>
      </c>
      <c r="C13">
        <v>0.81358862850239466</v>
      </c>
      <c r="D13">
        <v>1</v>
      </c>
      <c r="E13">
        <f t="shared" si="0"/>
        <v>0.93786287616746489</v>
      </c>
    </row>
    <row r="14" spans="1:5" x14ac:dyDescent="0.4">
      <c r="A14">
        <v>26</v>
      </c>
      <c r="B14">
        <v>1</v>
      </c>
      <c r="C14">
        <v>0.84719954069580827</v>
      </c>
      <c r="D14">
        <v>0.7</v>
      </c>
      <c r="E14">
        <f t="shared" si="0"/>
        <v>0.84906651356526941</v>
      </c>
    </row>
    <row r="15" spans="1:5" x14ac:dyDescent="0.4">
      <c r="A15">
        <v>28</v>
      </c>
      <c r="B15">
        <v>1</v>
      </c>
      <c r="C15">
        <v>0.84268271962203478</v>
      </c>
      <c r="D15">
        <v>1</v>
      </c>
      <c r="E15">
        <f t="shared" si="0"/>
        <v>0.94756090654067826</v>
      </c>
    </row>
    <row r="16" spans="1:5" x14ac:dyDescent="0.4">
      <c r="A16">
        <v>30</v>
      </c>
      <c r="B16">
        <v>1</v>
      </c>
      <c r="C16">
        <v>0.89804527547546331</v>
      </c>
      <c r="D16">
        <v>0.9</v>
      </c>
      <c r="E16">
        <f t="shared" si="0"/>
        <v>0.93268175849182111</v>
      </c>
    </row>
    <row r="17" spans="1:5" x14ac:dyDescent="0.4">
      <c r="A17">
        <v>32</v>
      </c>
      <c r="B17">
        <v>1</v>
      </c>
      <c r="C17">
        <v>0.83735566382695759</v>
      </c>
      <c r="D17">
        <v>1</v>
      </c>
      <c r="E17">
        <f t="shared" si="0"/>
        <v>0.94578522127565245</v>
      </c>
    </row>
    <row r="18" spans="1:5" x14ac:dyDescent="0.4">
      <c r="A18">
        <v>34</v>
      </c>
      <c r="B18">
        <v>1</v>
      </c>
      <c r="C18">
        <v>0.90529870714775873</v>
      </c>
      <c r="D18">
        <v>1</v>
      </c>
      <c r="E18">
        <f t="shared" si="0"/>
        <v>0.96843290238258628</v>
      </c>
    </row>
    <row r="19" spans="1:5" x14ac:dyDescent="0.4">
      <c r="A19">
        <v>36</v>
      </c>
      <c r="B19">
        <v>1</v>
      </c>
      <c r="C19">
        <v>0.87398486044284174</v>
      </c>
      <c r="D19">
        <v>1</v>
      </c>
      <c r="E19">
        <f t="shared" si="0"/>
        <v>0.95799495348094721</v>
      </c>
    </row>
    <row r="20" spans="1:5" x14ac:dyDescent="0.4">
      <c r="A20">
        <v>38</v>
      </c>
      <c r="B20">
        <v>1</v>
      </c>
      <c r="C20">
        <v>0.91940174777220551</v>
      </c>
      <c r="D20">
        <v>1</v>
      </c>
      <c r="E20">
        <f t="shared" si="0"/>
        <v>0.9731339159240685</v>
      </c>
    </row>
    <row r="21" spans="1:5" x14ac:dyDescent="0.4">
      <c r="A21">
        <v>40</v>
      </c>
      <c r="B21">
        <v>1</v>
      </c>
      <c r="C21">
        <v>0.89938110915873326</v>
      </c>
      <c r="D21">
        <v>0.8</v>
      </c>
      <c r="E21">
        <f t="shared" si="0"/>
        <v>0.89979370305291118</v>
      </c>
    </row>
    <row r="22" spans="1:5" x14ac:dyDescent="0.4">
      <c r="A22">
        <v>42</v>
      </c>
      <c r="B22">
        <v>1</v>
      </c>
      <c r="C22">
        <v>0.88266579364883246</v>
      </c>
      <c r="D22">
        <v>1</v>
      </c>
      <c r="E22">
        <f t="shared" si="0"/>
        <v>0.96088859788294412</v>
      </c>
    </row>
    <row r="23" spans="1:5" x14ac:dyDescent="0.4">
      <c r="A23">
        <v>44</v>
      </c>
      <c r="B23">
        <v>1</v>
      </c>
      <c r="C23">
        <v>0.81829847455845295</v>
      </c>
      <c r="D23">
        <v>1</v>
      </c>
      <c r="E23">
        <f t="shared" si="0"/>
        <v>0.93943282485281765</v>
      </c>
    </row>
    <row r="24" spans="1:5" x14ac:dyDescent="0.4">
      <c r="A24">
        <v>46</v>
      </c>
      <c r="B24">
        <v>1</v>
      </c>
      <c r="C24">
        <v>0.86962424122626303</v>
      </c>
      <c r="D24">
        <v>1</v>
      </c>
      <c r="E24">
        <f t="shared" si="0"/>
        <v>0.95654141374208768</v>
      </c>
    </row>
    <row r="25" spans="1:5" x14ac:dyDescent="0.4">
      <c r="A25">
        <v>48</v>
      </c>
      <c r="B25">
        <v>1</v>
      </c>
      <c r="C25">
        <v>0.81626682143103502</v>
      </c>
      <c r="D25">
        <v>1</v>
      </c>
      <c r="E25">
        <f t="shared" si="0"/>
        <v>0.93875560714367834</v>
      </c>
    </row>
    <row r="26" spans="1:5" x14ac:dyDescent="0.4">
      <c r="A26">
        <v>50</v>
      </c>
      <c r="B26">
        <v>1</v>
      </c>
      <c r="C26">
        <v>0.93683938777905784</v>
      </c>
      <c r="D26">
        <v>1</v>
      </c>
      <c r="E26">
        <f t="shared" si="0"/>
        <v>0.97894646259301921</v>
      </c>
    </row>
    <row r="27" spans="1:5" x14ac:dyDescent="0.4">
      <c r="A27">
        <v>52</v>
      </c>
      <c r="B27">
        <v>1</v>
      </c>
      <c r="C27">
        <v>0.89241503447763992</v>
      </c>
      <c r="D27">
        <v>1</v>
      </c>
      <c r="E27">
        <f t="shared" si="0"/>
        <v>0.96413834482588001</v>
      </c>
    </row>
    <row r="28" spans="1:5" x14ac:dyDescent="0.4">
      <c r="A28">
        <v>54</v>
      </c>
      <c r="B28">
        <v>1</v>
      </c>
      <c r="C28">
        <v>0.87739885161002895</v>
      </c>
      <c r="D28">
        <v>0.9</v>
      </c>
      <c r="E28">
        <f t="shared" si="0"/>
        <v>0.92579961720334303</v>
      </c>
    </row>
    <row r="29" spans="1:5" x14ac:dyDescent="0.4">
      <c r="A29">
        <v>56</v>
      </c>
      <c r="B29">
        <v>1</v>
      </c>
      <c r="C29">
        <v>0.9408181625334131</v>
      </c>
      <c r="D29">
        <v>1</v>
      </c>
      <c r="E29">
        <f t="shared" si="0"/>
        <v>0.98027272084447103</v>
      </c>
    </row>
    <row r="30" spans="1:5" x14ac:dyDescent="0.4">
      <c r="A30">
        <v>58</v>
      </c>
      <c r="B30">
        <v>0.8</v>
      </c>
      <c r="C30">
        <v>0.87466036380912471</v>
      </c>
      <c r="D30">
        <v>1</v>
      </c>
      <c r="E30">
        <f t="shared" si="0"/>
        <v>0.89155345460304158</v>
      </c>
    </row>
    <row r="31" spans="1:5" x14ac:dyDescent="0.4">
      <c r="A31">
        <v>60</v>
      </c>
      <c r="B31">
        <v>0.9</v>
      </c>
      <c r="C31">
        <v>0.80847080197358279</v>
      </c>
      <c r="D31">
        <v>1</v>
      </c>
      <c r="E31">
        <f t="shared" si="0"/>
        <v>0.90282360065786094</v>
      </c>
    </row>
    <row r="32" spans="1:5" x14ac:dyDescent="0.4">
      <c r="A32" t="s">
        <v>5</v>
      </c>
      <c r="B32">
        <f>AVERAGE(B2:B31)</f>
        <v>0.97</v>
      </c>
      <c r="C32">
        <f t="shared" ref="C32:E32" si="1">AVERAGE(C2:C31)</f>
        <v>0.86490101645966289</v>
      </c>
      <c r="D32">
        <f t="shared" si="1"/>
        <v>0.97</v>
      </c>
      <c r="E32">
        <f t="shared" si="1"/>
        <v>0.93496700548655431</v>
      </c>
    </row>
    <row r="33" spans="1:5" x14ac:dyDescent="0.4">
      <c r="A33" t="s">
        <v>6</v>
      </c>
      <c r="B33">
        <f>_xlfn.STDEV.P(B2:B31)</f>
        <v>8.2259751195020478E-2</v>
      </c>
      <c r="C33">
        <f t="shared" ref="C33:E33" si="2">_xlfn.STDEV.P(C2:C31)</f>
        <v>4.1225572614989811E-2</v>
      </c>
      <c r="D33">
        <f t="shared" si="2"/>
        <v>7.3711147958319942E-2</v>
      </c>
      <c r="E33">
        <f t="shared" si="2"/>
        <v>4.0819145037357937E-2</v>
      </c>
    </row>
    <row r="34" spans="1:5" x14ac:dyDescent="0.4">
      <c r="A34" t="s">
        <v>9</v>
      </c>
      <c r="B34">
        <f>_xlfn.CONFIDENCE.T(0.05,B33,30)</f>
        <v>3.0716295904415117E-2</v>
      </c>
      <c r="C34">
        <f t="shared" ref="C34:E34" si="3">_xlfn.CONFIDENCE.T(0.05,C33,30)</f>
        <v>1.5393881805803877E-2</v>
      </c>
      <c r="D34">
        <f t="shared" si="3"/>
        <v>2.7524194995120977E-2</v>
      </c>
      <c r="E34">
        <f t="shared" si="3"/>
        <v>1.5242119254168407E-2</v>
      </c>
    </row>
    <row r="35" spans="1:5" x14ac:dyDescent="0.4">
      <c r="A35" t="s">
        <v>7</v>
      </c>
      <c r="B35">
        <f>B32+B34</f>
        <v>1.0007162959044151</v>
      </c>
      <c r="C35">
        <f t="shared" ref="C35:E35" si="4">C32+C34</f>
        <v>0.88029489826546681</v>
      </c>
      <c r="D35">
        <f t="shared" si="4"/>
        <v>0.99752419499512091</v>
      </c>
      <c r="E35">
        <f t="shared" si="4"/>
        <v>0.95020912474072272</v>
      </c>
    </row>
    <row r="36" spans="1:5" x14ac:dyDescent="0.4">
      <c r="A36" t="s">
        <v>8</v>
      </c>
      <c r="B36">
        <f>B32-B34</f>
        <v>0.93928370409558481</v>
      </c>
      <c r="C36">
        <f t="shared" ref="C36:E36" si="5">C32-C34</f>
        <v>0.84950713465385896</v>
      </c>
      <c r="D36">
        <f t="shared" si="5"/>
        <v>0.94247580500487904</v>
      </c>
      <c r="E36">
        <f t="shared" si="5"/>
        <v>0.91972488623238591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谢文博</dc:creator>
  <cp:lastModifiedBy>文博 谢</cp:lastModifiedBy>
  <dcterms:created xsi:type="dcterms:W3CDTF">2015-06-05T18:19:34Z</dcterms:created>
  <dcterms:modified xsi:type="dcterms:W3CDTF">2025-10-09T11:53:19Z</dcterms:modified>
</cp:coreProperties>
</file>